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\Dados\Curso Excel com IA do Santander\"/>
    </mc:Choice>
  </mc:AlternateContent>
  <xr:revisionPtr revIDLastSave="0" documentId="13_ncr:1_{3ADFCE41-F5E1-488A-A858-2C27AC19E66A}" xr6:coauthVersionLast="47" xr6:coauthVersionMax="47" xr10:uidLastSave="{00000000-0000-0000-0000-000000000000}"/>
  <bookViews>
    <workbookView xWindow="-108" yWindow="-108" windowWidth="23256" windowHeight="12576" xr2:uid="{E11CDCA6-3753-4821-8F2E-3CDE881FE955}"/>
  </bookViews>
  <sheets>
    <sheet name="Simulador" sheetId="1" r:id="rId1"/>
    <sheet name="Dados" sheetId="2" r:id="rId2"/>
  </sheets>
  <definedNames>
    <definedName name="aporte">Simulador!$E$15</definedName>
    <definedName name="_xlnm.Print_Area" localSheetId="0">Simulador!$A$1:$F$51</definedName>
    <definedName name="patrimonio">Simulador!$E$18</definedName>
    <definedName name="perfil">Simulador!$C$28</definedName>
    <definedName name="periodo">Simulador!$E$16</definedName>
    <definedName name="porcentual_sal">Simulador!$C$12</definedName>
    <definedName name="rendimento">Simulador!$C$11</definedName>
    <definedName name="salario">Simulador!$C$10</definedName>
    <definedName name="taxa">Simulador!$E$17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E33" i="1" s="1"/>
  <c r="C34" i="1"/>
  <c r="E34" i="1" s="1"/>
  <c r="C35" i="1"/>
  <c r="C36" i="1"/>
  <c r="E36" i="1" s="1"/>
  <c r="C37" i="1"/>
  <c r="E37" i="1" s="1"/>
  <c r="C32" i="1"/>
  <c r="E32" i="1" s="1"/>
  <c r="C29" i="1"/>
  <c r="E25" i="1"/>
  <c r="E26" i="1"/>
  <c r="D23" i="1"/>
  <c r="E23" i="1" s="1"/>
  <c r="D24" i="1"/>
  <c r="E24" i="1" s="1"/>
  <c r="D25" i="1"/>
  <c r="D26" i="1"/>
  <c r="D22" i="1"/>
  <c r="E22" i="1" s="1"/>
  <c r="E19" i="1"/>
  <c r="E18" i="1"/>
  <c r="D12" i="1"/>
  <c r="E35" i="1" l="1"/>
  <c r="E38" i="1" s="1"/>
</calcChain>
</file>

<file path=xl/sharedStrings.xml><?xml version="1.0" encoding="utf-8"?>
<sst xmlns="http://schemas.openxmlformats.org/spreadsheetml/2006/main" count="87" uniqueCount="51">
  <si>
    <t>PARÂMETROS</t>
  </si>
  <si>
    <t>INVESTIMENTO MENSAL</t>
  </si>
  <si>
    <t>Quanto investir por mês?</t>
  </si>
  <si>
    <t>Por Quantos Anos?</t>
  </si>
  <si>
    <t>Taxa de Rendimento mensal?</t>
  </si>
  <si>
    <t>Patrimônio acumulado=</t>
  </si>
  <si>
    <t>Dividendos Mensais=</t>
  </si>
  <si>
    <t>Qual é o seu salário?</t>
  </si>
  <si>
    <t>Qual é o rendimento da carteira?</t>
  </si>
  <si>
    <t>Qual o porcentual investido do Salário?</t>
  </si>
  <si>
    <t>PREVISÃO</t>
  </si>
  <si>
    <t>Dividendos</t>
  </si>
  <si>
    <t>Quanto de patrimônio em 2 Anos?</t>
  </si>
  <si>
    <t>Quanto de patrimônio em 5 Anos?</t>
  </si>
  <si>
    <t>Quanto de patrimônio em 10 Anos?</t>
  </si>
  <si>
    <t>Quanto de patrimônio em 20 Anos?</t>
  </si>
  <si>
    <t>Quanto de patrimônio em 30 Anos?</t>
  </si>
  <si>
    <t>PERFIL</t>
  </si>
  <si>
    <t>VALOR A SER INVESTIDO POR MÊS</t>
  </si>
  <si>
    <t>PAPEL</t>
  </si>
  <si>
    <t>TIJOLO</t>
  </si>
  <si>
    <t>HÍBRIDOS</t>
  </si>
  <si>
    <t>FOFs</t>
  </si>
  <si>
    <t>DESENVOLVIMENTO</t>
  </si>
  <si>
    <t>HOTELARIAS</t>
  </si>
  <si>
    <t>TIPO DE FII</t>
  </si>
  <si>
    <t>%</t>
  </si>
  <si>
    <t>Conservador</t>
  </si>
  <si>
    <t>Moderado</t>
  </si>
  <si>
    <t>Agressivo</t>
  </si>
  <si>
    <t>Percentual Sugerido</t>
  </si>
  <si>
    <t>Valores</t>
  </si>
  <si>
    <t>CHAVE</t>
  </si>
  <si>
    <t>Conservador-PAPEL</t>
  </si>
  <si>
    <t>Conservador-TIJOLO</t>
  </si>
  <si>
    <t>Conservador-HÍBRIDOS</t>
  </si>
  <si>
    <t>Conservador-FOFs</t>
  </si>
  <si>
    <t>Conservador-DESENVOLVIMENTO</t>
  </si>
  <si>
    <t>Conservador-HOTELARIAS</t>
  </si>
  <si>
    <t>Moderado-PAPEL</t>
  </si>
  <si>
    <t>Moderado-TIJOLO</t>
  </si>
  <si>
    <t>Moderado-HÍBRIDOS</t>
  </si>
  <si>
    <t>Moderado-FOFs</t>
  </si>
  <si>
    <t>Moderado-DESENVOLVIMENTO</t>
  </si>
  <si>
    <t>Moderado-HOTELARIAS</t>
  </si>
  <si>
    <t>Agressivo-PAPEL</t>
  </si>
  <si>
    <t>Agressivo-TIJOLO</t>
  </si>
  <si>
    <t>Agressivo-HÍBRIDOS</t>
  </si>
  <si>
    <t>Agressivo-FOFs</t>
  </si>
  <si>
    <t>Agressivo-DESENVOLVIMENTO</t>
  </si>
  <si>
    <t>Agressivo-HOTELARIAS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</si>
</sst>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R$-416]\ #,##0.00;\-[$R$-416]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rgb="FFFF0000"/>
      <name val="Segoe UI"/>
      <family val="2"/>
    </font>
    <font>
      <b/>
      <sz val="11"/>
      <color theme="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  <font>
      <b/>
      <sz val="12"/>
      <color theme="0"/>
      <name val="Segoe UI"/>
      <family val="2"/>
    </font>
    <font>
      <b/>
      <sz val="16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theme="0"/>
      </right>
      <top/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/>
      <right style="thick">
        <color theme="1"/>
      </right>
      <top/>
      <bottom style="thin">
        <color theme="0"/>
      </bottom>
      <diagonal/>
    </border>
    <border>
      <left/>
      <right style="thick">
        <color theme="1"/>
      </right>
      <top style="thin">
        <color theme="0"/>
      </top>
      <bottom style="thick">
        <color theme="1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ck">
        <color theme="1"/>
      </bottom>
      <diagonal/>
    </border>
    <border>
      <left style="thick">
        <color indexed="64"/>
      </left>
      <right style="thin">
        <color theme="0"/>
      </right>
      <top/>
      <bottom style="thin">
        <color theme="0"/>
      </bottom>
      <diagonal/>
    </border>
    <border>
      <left style="thick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n">
        <color theme="0"/>
      </left>
      <right style="thick">
        <color indexed="64"/>
      </right>
      <top style="thin">
        <color theme="0"/>
      </top>
      <bottom style="thick">
        <color indexed="64"/>
      </bottom>
      <diagonal/>
    </border>
    <border>
      <left style="thin">
        <color theme="0"/>
      </left>
      <right style="thick">
        <color indexed="64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ck">
        <color auto="1"/>
      </right>
      <top/>
      <bottom style="medium">
        <color theme="0"/>
      </bottom>
      <diagonal/>
    </border>
    <border>
      <left style="thick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ck">
        <color auto="1"/>
      </right>
      <top style="medium">
        <color theme="0"/>
      </top>
      <bottom style="medium">
        <color theme="0"/>
      </bottom>
      <diagonal/>
    </border>
    <border>
      <left style="thick">
        <color auto="1"/>
      </left>
      <right style="medium">
        <color theme="0"/>
      </right>
      <top style="medium">
        <color theme="0"/>
      </top>
      <bottom style="thick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auto="1"/>
      </bottom>
      <diagonal/>
    </border>
    <border>
      <left style="medium">
        <color theme="0"/>
      </left>
      <right style="thick">
        <color auto="1"/>
      </right>
      <top style="medium">
        <color theme="0"/>
      </top>
      <bottom style="thick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/>
    <xf numFmtId="0" fontId="3" fillId="0" borderId="0" xfId="0" applyFont="1" applyBorder="1"/>
    <xf numFmtId="0" fontId="6" fillId="0" borderId="0" xfId="0" applyFont="1"/>
    <xf numFmtId="0" fontId="8" fillId="4" borderId="3" xfId="0" applyFont="1" applyFill="1" applyBorder="1"/>
    <xf numFmtId="0" fontId="8" fillId="4" borderId="10" xfId="0" applyFont="1" applyFill="1" applyBorder="1"/>
    <xf numFmtId="0" fontId="3" fillId="0" borderId="13" xfId="0" applyFont="1" applyBorder="1"/>
    <xf numFmtId="2" fontId="4" fillId="0" borderId="6" xfId="0" applyNumberFormat="1" applyFont="1" applyBorder="1" applyAlignment="1">
      <alignment horizontal="center"/>
    </xf>
    <xf numFmtId="10" fontId="4" fillId="0" borderId="6" xfId="2" applyNumberFormat="1" applyFont="1" applyBorder="1" applyAlignment="1">
      <alignment horizontal="center"/>
    </xf>
    <xf numFmtId="0" fontId="8" fillId="4" borderId="11" xfId="0" applyFont="1" applyFill="1" applyBorder="1"/>
    <xf numFmtId="0" fontId="8" fillId="4" borderId="12" xfId="0" applyFont="1" applyFill="1" applyBorder="1"/>
    <xf numFmtId="0" fontId="3" fillId="3" borderId="1" xfId="0" applyFont="1" applyFill="1" applyBorder="1"/>
    <xf numFmtId="0" fontId="3" fillId="3" borderId="18" xfId="0" applyFont="1" applyFill="1" applyBorder="1"/>
    <xf numFmtId="0" fontId="5" fillId="3" borderId="8" xfId="0" applyFont="1" applyFill="1" applyBorder="1"/>
    <xf numFmtId="0" fontId="3" fillId="3" borderId="9" xfId="0" applyFont="1" applyFill="1" applyBorder="1"/>
    <xf numFmtId="0" fontId="3" fillId="3" borderId="7" xfId="0" applyFont="1" applyFill="1" applyBorder="1"/>
    <xf numFmtId="0" fontId="3" fillId="3" borderId="2" xfId="0" applyFont="1" applyFill="1" applyBorder="1"/>
    <xf numFmtId="0" fontId="3" fillId="3" borderId="21" xfId="0" applyFont="1" applyFill="1" applyBorder="1"/>
    <xf numFmtId="0" fontId="3" fillId="3" borderId="22" xfId="0" applyFont="1" applyFill="1" applyBorder="1"/>
    <xf numFmtId="0" fontId="3" fillId="3" borderId="23" xfId="0" applyFont="1" applyFill="1" applyBorder="1"/>
    <xf numFmtId="0" fontId="5" fillId="3" borderId="21" xfId="0" applyFont="1" applyFill="1" applyBorder="1"/>
    <xf numFmtId="0" fontId="3" fillId="3" borderId="24" xfId="0" applyFont="1" applyFill="1" applyBorder="1"/>
    <xf numFmtId="0" fontId="3" fillId="3" borderId="25" xfId="0" applyFont="1" applyFill="1" applyBorder="1"/>
    <xf numFmtId="0" fontId="3" fillId="3" borderId="26" xfId="0" applyFont="1" applyFill="1" applyBorder="1"/>
    <xf numFmtId="0" fontId="3" fillId="3" borderId="28" xfId="0" applyFont="1" applyFill="1" applyBorder="1"/>
    <xf numFmtId="8" fontId="5" fillId="3" borderId="19" xfId="1" applyNumberFormat="1" applyFont="1" applyFill="1" applyBorder="1" applyAlignment="1">
      <alignment horizontal="center"/>
    </xf>
    <xf numFmtId="44" fontId="5" fillId="3" borderId="20" xfId="1" applyFont="1" applyFill="1" applyBorder="1" applyAlignment="1">
      <alignment horizontal="center"/>
    </xf>
    <xf numFmtId="0" fontId="8" fillId="4" borderId="4" xfId="0" applyFont="1" applyFill="1" applyBorder="1"/>
    <xf numFmtId="0" fontId="8" fillId="4" borderId="5" xfId="0" applyFont="1" applyFill="1" applyBorder="1"/>
    <xf numFmtId="44" fontId="3" fillId="3" borderId="1" xfId="1" applyFont="1" applyFill="1" applyBorder="1"/>
    <xf numFmtId="44" fontId="3" fillId="3" borderId="22" xfId="1" applyFont="1" applyFill="1" applyBorder="1"/>
    <xf numFmtId="44" fontId="3" fillId="3" borderId="27" xfId="1" applyFont="1" applyFill="1" applyBorder="1" applyAlignment="1">
      <alignment horizontal="center"/>
    </xf>
    <xf numFmtId="44" fontId="3" fillId="3" borderId="18" xfId="1" applyFont="1" applyFill="1" applyBorder="1"/>
    <xf numFmtId="44" fontId="3" fillId="3" borderId="29" xfId="1" applyFont="1" applyFill="1" applyBorder="1" applyAlignment="1">
      <alignment horizontal="center"/>
    </xf>
    <xf numFmtId="44" fontId="3" fillId="3" borderId="30" xfId="1" applyFont="1" applyFill="1" applyBorder="1" applyAlignment="1">
      <alignment horizontal="center"/>
    </xf>
    <xf numFmtId="0" fontId="3" fillId="2" borderId="32" xfId="0" applyFont="1" applyFill="1" applyBorder="1"/>
    <xf numFmtId="0" fontId="3" fillId="2" borderId="31" xfId="0" applyFont="1" applyFill="1" applyBorder="1"/>
    <xf numFmtId="0" fontId="3" fillId="2" borderId="34" xfId="0" applyFont="1" applyFill="1" applyBorder="1"/>
    <xf numFmtId="0" fontId="3" fillId="2" borderId="36" xfId="0" applyFont="1" applyFill="1" applyBorder="1"/>
    <xf numFmtId="0" fontId="3" fillId="2" borderId="39" xfId="0" applyFont="1" applyFill="1" applyBorder="1"/>
    <xf numFmtId="0" fontId="3" fillId="3" borderId="33" xfId="0" applyFont="1" applyFill="1" applyBorder="1"/>
    <xf numFmtId="0" fontId="3" fillId="3" borderId="35" xfId="0" applyFont="1" applyFill="1" applyBorder="1"/>
    <xf numFmtId="0" fontId="3" fillId="3" borderId="37" xfId="0" applyFont="1" applyFill="1" applyBorder="1"/>
    <xf numFmtId="0" fontId="9" fillId="5" borderId="10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9" fontId="11" fillId="6" borderId="11" xfId="2" applyNumberFormat="1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9" fontId="10" fillId="6" borderId="12" xfId="2" applyNumberFormat="1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9" fontId="11" fillId="0" borderId="0" xfId="2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9" fontId="10" fillId="0" borderId="14" xfId="2" applyNumberFormat="1" applyFont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9" fontId="11" fillId="6" borderId="0" xfId="2" applyNumberFormat="1" applyFont="1" applyFill="1" applyBorder="1" applyAlignment="1">
      <alignment horizontal="center"/>
    </xf>
    <xf numFmtId="0" fontId="11" fillId="6" borderId="0" xfId="0" applyFont="1" applyFill="1" applyBorder="1" applyAlignment="1">
      <alignment horizontal="center"/>
    </xf>
    <xf numFmtId="9" fontId="10" fillId="6" borderId="14" xfId="2" applyNumberFormat="1" applyFont="1" applyFill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9" fontId="10" fillId="0" borderId="16" xfId="2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8" fillId="4" borderId="1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0" borderId="14" xfId="0" applyFont="1" applyBorder="1"/>
    <xf numFmtId="0" fontId="5" fillId="0" borderId="1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9" fontId="3" fillId="0" borderId="0" xfId="2" applyFont="1" applyBorder="1" applyAlignment="1">
      <alignment horizontal="center"/>
    </xf>
    <xf numFmtId="0" fontId="3" fillId="4" borderId="15" xfId="0" applyFont="1" applyFill="1" applyBorder="1"/>
    <xf numFmtId="0" fontId="3" fillId="4" borderId="17" xfId="0" applyFont="1" applyFill="1" applyBorder="1"/>
    <xf numFmtId="10" fontId="4" fillId="0" borderId="32" xfId="2" applyNumberFormat="1" applyFont="1" applyBorder="1" applyAlignment="1">
      <alignment horizontal="right"/>
    </xf>
    <xf numFmtId="9" fontId="4" fillId="0" borderId="38" xfId="2" applyFont="1" applyBorder="1" applyAlignment="1">
      <alignment horizontal="right"/>
    </xf>
    <xf numFmtId="0" fontId="8" fillId="4" borderId="11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164" fontId="4" fillId="0" borderId="31" xfId="1" applyNumberFormat="1" applyFont="1" applyBorder="1" applyAlignment="1">
      <alignment horizontal="right"/>
    </xf>
    <xf numFmtId="7" fontId="4" fillId="0" borderId="6" xfId="1" applyNumberFormat="1" applyFont="1" applyBorder="1" applyAlignment="1">
      <alignment horizontal="center"/>
    </xf>
    <xf numFmtId="7" fontId="5" fillId="2" borderId="38" xfId="1" applyNumberFormat="1" applyFont="1" applyFill="1" applyBorder="1" applyAlignment="1">
      <alignment horizontal="center"/>
    </xf>
    <xf numFmtId="7" fontId="5" fillId="0" borderId="0" xfId="1" applyNumberFormat="1" applyFont="1" applyBorder="1" applyAlignment="1"/>
    <xf numFmtId="7" fontId="5" fillId="0" borderId="14" xfId="1" applyNumberFormat="1" applyFont="1" applyBorder="1" applyAlignment="1"/>
    <xf numFmtId="164" fontId="3" fillId="0" borderId="14" xfId="1" applyNumberFormat="1" applyFont="1" applyBorder="1" applyAlignment="1">
      <alignment horizontal="center"/>
    </xf>
    <xf numFmtId="164" fontId="7" fillId="4" borderId="16" xfId="0" applyNumberFormat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9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Porcentual</a:t>
            </a:r>
            <a:r>
              <a:rPr lang="pt-BR" b="1" baseline="0"/>
              <a:t> Sugerid</a:t>
            </a:r>
            <a:r>
              <a:rPr lang="pt-BR" b="1"/>
              <a:t>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Simulador!$C$32:$C$37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B-465B-AAD7-C81F7250F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30480</xdr:rowOff>
    </xdr:from>
    <xdr:to>
      <xdr:col>5</xdr:col>
      <xdr:colOff>15240</xdr:colOff>
      <xdr:row>7</xdr:row>
      <xdr:rowOff>160020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562FB4FD-0113-4B28-BF57-00BB2AA7FDE3}"/>
            </a:ext>
          </a:extLst>
        </xdr:cNvPr>
        <xdr:cNvGrpSpPr/>
      </xdr:nvGrpSpPr>
      <xdr:grpSpPr>
        <a:xfrm>
          <a:off x="266700" y="30480"/>
          <a:ext cx="5852160" cy="1623060"/>
          <a:chOff x="480060" y="30480"/>
          <a:chExt cx="3718560" cy="1455420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EDB11CFA-39F1-489A-A044-D45F4DB6A527}"/>
              </a:ext>
            </a:extLst>
          </xdr:cNvPr>
          <xdr:cNvSpPr/>
        </xdr:nvSpPr>
        <xdr:spPr>
          <a:xfrm>
            <a:off x="480060" y="30480"/>
            <a:ext cx="3718560" cy="1455420"/>
          </a:xfrm>
          <a:prstGeom prst="rect">
            <a:avLst/>
          </a:prstGeom>
          <a:solidFill>
            <a:srgbClr val="09E8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1D55CA18-ACE1-48BA-9265-50F67EDBDE4E}"/>
              </a:ext>
            </a:extLst>
          </xdr:cNvPr>
          <xdr:cNvGrpSpPr/>
        </xdr:nvGrpSpPr>
        <xdr:grpSpPr>
          <a:xfrm>
            <a:off x="556260" y="152400"/>
            <a:ext cx="3581400" cy="1272540"/>
            <a:chOff x="594360" y="152400"/>
            <a:chExt cx="3581400" cy="1272540"/>
          </a:xfrm>
          <a:solidFill>
            <a:srgbClr val="00B0F0"/>
          </a:solidFill>
          <a:effectLst/>
        </xdr:grpSpPr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0270F98E-D127-4A50-8803-E396404475E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32460" y="152400"/>
              <a:ext cx="3512820" cy="971092"/>
            </a:xfrm>
            <a:prstGeom prst="rect">
              <a:avLst/>
            </a:prstGeom>
            <a:grpFill/>
            <a:ln>
              <a:noFill/>
            </a:ln>
            <a:scene3d>
              <a:camera prst="orthographicFront"/>
              <a:lightRig rig="threePt" dir="t"/>
            </a:scene3d>
            <a:sp3d prstMaterial="matte"/>
          </xdr:spPr>
        </xdr:pic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46ACF638-59C2-4224-BB26-42D9A83FCCD5}"/>
                </a:ext>
              </a:extLst>
            </xdr:cNvPr>
            <xdr:cNvSpPr txBox="1"/>
          </xdr:nvSpPr>
          <xdr:spPr>
            <a:xfrm>
              <a:off x="594360" y="1104900"/>
              <a:ext cx="3581400" cy="320040"/>
            </a:xfrm>
            <a:prstGeom prst="rect">
              <a:avLst/>
            </a:prstGeom>
            <a:grpFill/>
            <a:ln w="9525" cmpd="sng">
              <a:noFill/>
            </a:ln>
            <a:scene3d>
              <a:camera prst="orthographicFront"/>
              <a:lightRig rig="threePt" dir="t"/>
            </a:scene3d>
            <a:sp3d prstMaterial="matte"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</a:rPr>
                <a:t>EVA INVEST</a:t>
              </a:r>
            </a:p>
          </xdr:txBody>
        </xdr:sp>
      </xdr:grpSp>
    </xdr:grpSp>
    <xdr:clientData/>
  </xdr:twoCellAnchor>
  <xdr:twoCellAnchor>
    <xdr:from>
      <xdr:col>1</xdr:col>
      <xdr:colOff>556260</xdr:colOff>
      <xdr:row>38</xdr:row>
      <xdr:rowOff>11430</xdr:rowOff>
    </xdr:from>
    <xdr:to>
      <xdr:col>4</xdr:col>
      <xdr:colOff>190500</xdr:colOff>
      <xdr:row>50</xdr:row>
      <xdr:rowOff>186690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D613112-23F4-4241-9048-6CC037D1A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C5CE-EB1D-4931-B873-8AE16BDB839B}">
  <sheetPr>
    <tabColor rgb="FF00B0F0"/>
  </sheetPr>
  <dimension ref="A8:J39"/>
  <sheetViews>
    <sheetView showGridLines="0" tabSelected="1" topLeftCell="A31" workbookViewId="0">
      <selection activeCell="D53" sqref="D53"/>
    </sheetView>
  </sheetViews>
  <sheetFormatPr defaultColWidth="0" defaultRowHeight="16.8" x14ac:dyDescent="0.4"/>
  <cols>
    <col min="1" max="1" width="3.88671875" style="1" customWidth="1"/>
    <col min="2" max="2" width="36.33203125" style="1" bestFit="1" customWidth="1"/>
    <col min="3" max="3" width="20.33203125" style="1" bestFit="1" customWidth="1"/>
    <col min="4" max="4" width="15.33203125" style="1" bestFit="1" customWidth="1"/>
    <col min="5" max="5" width="13.109375" style="1" bestFit="1" customWidth="1"/>
    <col min="6" max="6" width="3.33203125" style="1" customWidth="1"/>
    <col min="7" max="10" width="0" style="1" hidden="1"/>
    <col min="11" max="16384" width="8.88671875" style="1" hidden="1"/>
  </cols>
  <sheetData>
    <row r="8" spans="2:10" ht="17.399999999999999" thickBot="1" x14ac:dyDescent="0.45"/>
    <row r="9" spans="2:10" ht="19.8" thickTop="1" x14ac:dyDescent="0.45">
      <c r="B9" s="5" t="s">
        <v>0</v>
      </c>
      <c r="C9" s="9"/>
      <c r="D9" s="9"/>
      <c r="E9" s="10"/>
    </row>
    <row r="10" spans="2:10" ht="17.399999999999999" thickBot="1" x14ac:dyDescent="0.45">
      <c r="B10" s="40" t="s">
        <v>7</v>
      </c>
      <c r="C10" s="76">
        <v>2000</v>
      </c>
      <c r="D10" s="36"/>
      <c r="E10" s="37"/>
      <c r="I10" s="2"/>
      <c r="J10" s="2"/>
    </row>
    <row r="11" spans="2:10" ht="17.399999999999999" thickBot="1" x14ac:dyDescent="0.45">
      <c r="B11" s="41" t="s">
        <v>8</v>
      </c>
      <c r="C11" s="72">
        <v>6.0000000000000001E-3</v>
      </c>
      <c r="D11" s="35"/>
      <c r="E11" s="38"/>
    </row>
    <row r="12" spans="2:10" ht="17.399999999999999" thickBot="1" x14ac:dyDescent="0.45">
      <c r="B12" s="42" t="s">
        <v>9</v>
      </c>
      <c r="C12" s="73">
        <v>0.3</v>
      </c>
      <c r="D12" s="78">
        <f>salario*porcentual_sal</f>
        <v>600</v>
      </c>
      <c r="E12" s="39"/>
    </row>
    <row r="13" spans="2:10" ht="18" thickTop="1" thickBot="1" x14ac:dyDescent="0.45"/>
    <row r="14" spans="2:10" ht="19.8" thickTop="1" x14ac:dyDescent="0.45">
      <c r="B14" s="4" t="s">
        <v>1</v>
      </c>
      <c r="C14" s="27"/>
      <c r="D14" s="27"/>
      <c r="E14" s="28"/>
    </row>
    <row r="15" spans="2:10" x14ac:dyDescent="0.4">
      <c r="B15" s="15" t="s">
        <v>2</v>
      </c>
      <c r="C15" s="11"/>
      <c r="D15" s="16"/>
      <c r="E15" s="77">
        <v>200</v>
      </c>
    </row>
    <row r="16" spans="2:10" x14ac:dyDescent="0.4">
      <c r="B16" s="17" t="s">
        <v>3</v>
      </c>
      <c r="C16" s="18"/>
      <c r="D16" s="19"/>
      <c r="E16" s="7">
        <v>5</v>
      </c>
    </row>
    <row r="17" spans="1:7" x14ac:dyDescent="0.4">
      <c r="B17" s="17" t="s">
        <v>4</v>
      </c>
      <c r="C17" s="18"/>
      <c r="D17" s="19"/>
      <c r="E17" s="8">
        <v>1.0789999999999999E-2</v>
      </c>
    </row>
    <row r="18" spans="1:7" x14ac:dyDescent="0.4">
      <c r="B18" s="20" t="s">
        <v>5</v>
      </c>
      <c r="C18" s="18"/>
      <c r="D18" s="19"/>
      <c r="E18" s="25">
        <f>FV(taxa,periodo*12,aporte*-1)</f>
        <v>16755.382799697527</v>
      </c>
    </row>
    <row r="19" spans="1:7" ht="17.399999999999999" thickBot="1" x14ac:dyDescent="0.45">
      <c r="B19" s="13" t="s">
        <v>6</v>
      </c>
      <c r="C19" s="14"/>
      <c r="D19" s="21"/>
      <c r="E19" s="26">
        <f>patrimonio*rendimento</f>
        <v>100.53229679818516</v>
      </c>
    </row>
    <row r="20" spans="1:7" ht="18" thickTop="1" thickBot="1" x14ac:dyDescent="0.45"/>
    <row r="21" spans="1:7" ht="19.8" thickTop="1" x14ac:dyDescent="0.45">
      <c r="B21" s="5" t="s">
        <v>10</v>
      </c>
      <c r="C21" s="9"/>
      <c r="D21" s="9"/>
      <c r="E21" s="10" t="s">
        <v>11</v>
      </c>
    </row>
    <row r="22" spans="1:7" x14ac:dyDescent="0.4">
      <c r="A22" s="3">
        <v>2</v>
      </c>
      <c r="B22" s="22" t="s">
        <v>12</v>
      </c>
      <c r="C22" s="11"/>
      <c r="D22" s="29">
        <f>FV(taxa,A22*12,aporte*-1)</f>
        <v>5445.5254595290435</v>
      </c>
      <c r="E22" s="34">
        <f>D22*rendimento</f>
        <v>32.673152757174265</v>
      </c>
    </row>
    <row r="23" spans="1:7" x14ac:dyDescent="0.4">
      <c r="A23" s="3">
        <v>5</v>
      </c>
      <c r="B23" s="23" t="s">
        <v>13</v>
      </c>
      <c r="C23" s="18"/>
      <c r="D23" s="30">
        <f>FV(taxa,A23*12,aporte*-1)</f>
        <v>16755.382799697527</v>
      </c>
      <c r="E23" s="31">
        <f>D23*rendimento</f>
        <v>100.53229679818516</v>
      </c>
    </row>
    <row r="24" spans="1:7" x14ac:dyDescent="0.4">
      <c r="A24" s="3">
        <v>10</v>
      </c>
      <c r="B24" s="23" t="s">
        <v>14</v>
      </c>
      <c r="C24" s="18"/>
      <c r="D24" s="30">
        <f>FV(taxa,A24*12,aporte*-1)</f>
        <v>48656.842506034438</v>
      </c>
      <c r="E24" s="31">
        <f>D24*rendimento</f>
        <v>291.94105503620665</v>
      </c>
    </row>
    <row r="25" spans="1:7" x14ac:dyDescent="0.4">
      <c r="A25" s="3">
        <v>20</v>
      </c>
      <c r="B25" s="23" t="s">
        <v>15</v>
      </c>
      <c r="C25" s="18"/>
      <c r="D25" s="30">
        <f>FV(taxa,A25*12,aporte*-1)</f>
        <v>225039.68001941612</v>
      </c>
      <c r="E25" s="31">
        <f>D25*rendimento</f>
        <v>1350.2380801164968</v>
      </c>
    </row>
    <row r="26" spans="1:7" ht="17.399999999999999" thickBot="1" x14ac:dyDescent="0.45">
      <c r="A26" s="3">
        <v>30</v>
      </c>
      <c r="B26" s="24" t="s">
        <v>16</v>
      </c>
      <c r="C26" s="12"/>
      <c r="D26" s="32">
        <f>FV(taxa,A26*12,aporte*-1)</f>
        <v>864433.93100094295</v>
      </c>
      <c r="E26" s="33">
        <f>D26*rendimento</f>
        <v>5186.6035860056581</v>
      </c>
      <c r="G26" s="61"/>
    </row>
    <row r="27" spans="1:7" ht="18" thickTop="1" thickBot="1" x14ac:dyDescent="0.45"/>
    <row r="28" spans="1:7" ht="19.8" thickTop="1" x14ac:dyDescent="0.45">
      <c r="B28" s="62" t="s">
        <v>17</v>
      </c>
      <c r="C28" s="74" t="s">
        <v>27</v>
      </c>
      <c r="D28" s="74"/>
      <c r="E28" s="75"/>
    </row>
    <row r="29" spans="1:7" x14ac:dyDescent="0.4">
      <c r="B29" s="63" t="s">
        <v>18</v>
      </c>
      <c r="C29" s="79">
        <f>aporte</f>
        <v>200</v>
      </c>
      <c r="D29" s="79"/>
      <c r="E29" s="80"/>
    </row>
    <row r="30" spans="1:7" x14ac:dyDescent="0.4">
      <c r="B30" s="6"/>
      <c r="C30" s="2"/>
      <c r="D30" s="2"/>
      <c r="E30" s="64"/>
    </row>
    <row r="31" spans="1:7" x14ac:dyDescent="0.4">
      <c r="B31" s="65" t="s">
        <v>25</v>
      </c>
      <c r="C31" s="66" t="s">
        <v>30</v>
      </c>
      <c r="D31" s="2"/>
      <c r="E31" s="67" t="s">
        <v>31</v>
      </c>
    </row>
    <row r="32" spans="1:7" x14ac:dyDescent="0.4">
      <c r="B32" s="68" t="s">
        <v>19</v>
      </c>
      <c r="C32" s="69">
        <f>VLOOKUP(perfil&amp;"-"&amp;B32,Dados!$B3:$E20,4,FALSE)</f>
        <v>0.3</v>
      </c>
      <c r="D32" s="2"/>
      <c r="E32" s="81">
        <f t="shared" ref="E32:E37" si="0">C32*$C$29</f>
        <v>60</v>
      </c>
    </row>
    <row r="33" spans="2:5" x14ac:dyDescent="0.4">
      <c r="B33" s="68" t="s">
        <v>20</v>
      </c>
      <c r="C33" s="69">
        <f>VLOOKUP(perfil&amp;"-"&amp;B33,Dados!$B4:$E21,4,FALSE)</f>
        <v>0.5</v>
      </c>
      <c r="D33" s="2"/>
      <c r="E33" s="81">
        <f t="shared" si="0"/>
        <v>100</v>
      </c>
    </row>
    <row r="34" spans="2:5" x14ac:dyDescent="0.4">
      <c r="B34" s="68" t="s">
        <v>21</v>
      </c>
      <c r="C34" s="69">
        <f>VLOOKUP(perfil&amp;"-"&amp;B34,Dados!$B5:$E22,4,FALSE)</f>
        <v>0.1</v>
      </c>
      <c r="D34" s="2"/>
      <c r="E34" s="81">
        <f t="shared" si="0"/>
        <v>20</v>
      </c>
    </row>
    <row r="35" spans="2:5" x14ac:dyDescent="0.4">
      <c r="B35" s="68" t="s">
        <v>22</v>
      </c>
      <c r="C35" s="69">
        <f>VLOOKUP(perfil&amp;"-"&amp;B35,Dados!$B6:$E23,4,FALSE)</f>
        <v>0.1</v>
      </c>
      <c r="D35" s="2"/>
      <c r="E35" s="81">
        <f t="shared" si="0"/>
        <v>20</v>
      </c>
    </row>
    <row r="36" spans="2:5" x14ac:dyDescent="0.4">
      <c r="B36" s="68" t="s">
        <v>23</v>
      </c>
      <c r="C36" s="69">
        <f>VLOOKUP(perfil&amp;"-"&amp;B36,Dados!$B7:$E24,4,FALSE)</f>
        <v>0</v>
      </c>
      <c r="D36" s="2"/>
      <c r="E36" s="81">
        <f t="shared" si="0"/>
        <v>0</v>
      </c>
    </row>
    <row r="37" spans="2:5" x14ac:dyDescent="0.4">
      <c r="B37" s="68" t="s">
        <v>24</v>
      </c>
      <c r="C37" s="69">
        <f>VLOOKUP(perfil&amp;"-"&amp;B37,Dados!$B8:$E25,4,FALSE)</f>
        <v>0</v>
      </c>
      <c r="D37" s="2"/>
      <c r="E37" s="81">
        <f t="shared" si="0"/>
        <v>0</v>
      </c>
    </row>
    <row r="38" spans="2:5" ht="17.399999999999999" thickBot="1" x14ac:dyDescent="0.45">
      <c r="B38" s="70"/>
      <c r="C38" s="71"/>
      <c r="D38" s="71"/>
      <c r="E38" s="82">
        <f>SUM(E32:E37)</f>
        <v>200</v>
      </c>
    </row>
    <row r="39" spans="2:5" ht="17.399999999999999" thickTop="1" x14ac:dyDescent="0.4"/>
  </sheetData>
  <mergeCells count="2">
    <mergeCell ref="C29:E29"/>
    <mergeCell ref="C28:E28"/>
  </mergeCells>
  <dataValidations disablePrompts="1" count="2">
    <dataValidation type="whole" allowBlank="1" showInputMessage="1" showErrorMessage="1" promptTitle="Parte do salário a ser investida" prompt="Digite quanto de salário deseja investir. (0 a 100%)" sqref="C12" xr:uid="{07BA2FAE-4C1C-4B75-9AB4-8CE565A8D99B}">
      <formula1>0</formula1>
      <formula2>100</formula2>
    </dataValidation>
    <dataValidation type="list" allowBlank="1" showInputMessage="1" showErrorMessage="1" promptTitle="Escolha o perfil do investidor" prompt="Selecione entre os perfis da lista" sqref="C28" xr:uid="{56FF27FC-D8EF-42BF-B044-EA8ECA8075C7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rowBreaks count="1" manualBreakCount="1">
    <brk id="2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3B48-FD90-417C-904E-9804A28DD6B3}">
  <sheetPr>
    <tabColor rgb="FF92D050"/>
  </sheetPr>
  <dimension ref="B1:E21"/>
  <sheetViews>
    <sheetView workbookViewId="0">
      <selection activeCell="G10" sqref="G10"/>
    </sheetView>
  </sheetViews>
  <sheetFormatPr defaultRowHeight="14.4" x14ac:dyDescent="0.3"/>
  <cols>
    <col min="2" max="2" width="29.21875" bestFit="1" customWidth="1"/>
    <col min="3" max="3" width="14" customWidth="1"/>
    <col min="4" max="4" width="20.88671875" customWidth="1"/>
    <col min="5" max="5" width="8.77734375" customWidth="1"/>
  </cols>
  <sheetData>
    <row r="1" spans="2:5" ht="15" thickBot="1" x14ac:dyDescent="0.35"/>
    <row r="2" spans="2:5" ht="22.2" thickTop="1" thickBot="1" x14ac:dyDescent="0.45">
      <c r="B2" s="43" t="s">
        <v>32</v>
      </c>
      <c r="C2" s="44" t="s">
        <v>17</v>
      </c>
      <c r="D2" s="44" t="s">
        <v>25</v>
      </c>
      <c r="E2" s="45" t="s">
        <v>26</v>
      </c>
    </row>
    <row r="3" spans="2:5" ht="15" thickTop="1" x14ac:dyDescent="0.3">
      <c r="B3" s="46" t="s">
        <v>33</v>
      </c>
      <c r="C3" s="47" t="s">
        <v>27</v>
      </c>
      <c r="D3" s="48" t="s">
        <v>19</v>
      </c>
      <c r="E3" s="49">
        <v>0.3</v>
      </c>
    </row>
    <row r="4" spans="2:5" x14ac:dyDescent="0.3">
      <c r="B4" s="50" t="s">
        <v>34</v>
      </c>
      <c r="C4" s="51" t="s">
        <v>27</v>
      </c>
      <c r="D4" s="52" t="s">
        <v>20</v>
      </c>
      <c r="E4" s="53">
        <v>0.5</v>
      </c>
    </row>
    <row r="5" spans="2:5" x14ac:dyDescent="0.3">
      <c r="B5" s="54" t="s">
        <v>35</v>
      </c>
      <c r="C5" s="55" t="s">
        <v>27</v>
      </c>
      <c r="D5" s="56" t="s">
        <v>21</v>
      </c>
      <c r="E5" s="57">
        <v>0.1</v>
      </c>
    </row>
    <row r="6" spans="2:5" x14ac:dyDescent="0.3">
      <c r="B6" s="50" t="s">
        <v>36</v>
      </c>
      <c r="C6" s="51" t="s">
        <v>27</v>
      </c>
      <c r="D6" s="52" t="s">
        <v>22</v>
      </c>
      <c r="E6" s="53">
        <v>0.1</v>
      </c>
    </row>
    <row r="7" spans="2:5" x14ac:dyDescent="0.3">
      <c r="B7" s="54" t="s">
        <v>37</v>
      </c>
      <c r="C7" s="55" t="s">
        <v>27</v>
      </c>
      <c r="D7" s="56" t="s">
        <v>23</v>
      </c>
      <c r="E7" s="57">
        <v>0</v>
      </c>
    </row>
    <row r="8" spans="2:5" ht="15" thickBot="1" x14ac:dyDescent="0.35">
      <c r="B8" s="50" t="s">
        <v>38</v>
      </c>
      <c r="C8" s="51" t="s">
        <v>27</v>
      </c>
      <c r="D8" s="52" t="s">
        <v>24</v>
      </c>
      <c r="E8" s="53">
        <v>0</v>
      </c>
    </row>
    <row r="9" spans="2:5" ht="15" thickTop="1" x14ac:dyDescent="0.3">
      <c r="B9" s="46" t="s">
        <v>39</v>
      </c>
      <c r="C9" s="48" t="s">
        <v>28</v>
      </c>
      <c r="D9" s="48" t="s">
        <v>19</v>
      </c>
      <c r="E9" s="49">
        <v>0.32</v>
      </c>
    </row>
    <row r="10" spans="2:5" x14ac:dyDescent="0.3">
      <c r="B10" s="50" t="s">
        <v>40</v>
      </c>
      <c r="C10" s="52" t="s">
        <v>28</v>
      </c>
      <c r="D10" s="52" t="s">
        <v>20</v>
      </c>
      <c r="E10" s="53">
        <v>0.35</v>
      </c>
    </row>
    <row r="11" spans="2:5" x14ac:dyDescent="0.3">
      <c r="B11" s="54" t="s">
        <v>41</v>
      </c>
      <c r="C11" s="56" t="s">
        <v>28</v>
      </c>
      <c r="D11" s="56" t="s">
        <v>21</v>
      </c>
      <c r="E11" s="57">
        <v>0.08</v>
      </c>
    </row>
    <row r="12" spans="2:5" x14ac:dyDescent="0.3">
      <c r="B12" s="50" t="s">
        <v>42</v>
      </c>
      <c r="C12" s="52" t="s">
        <v>28</v>
      </c>
      <c r="D12" s="52" t="s">
        <v>22</v>
      </c>
      <c r="E12" s="53">
        <v>0.05</v>
      </c>
    </row>
    <row r="13" spans="2:5" x14ac:dyDescent="0.3">
      <c r="B13" s="54" t="s">
        <v>43</v>
      </c>
      <c r="C13" s="56" t="s">
        <v>28</v>
      </c>
      <c r="D13" s="56" t="s">
        <v>23</v>
      </c>
      <c r="E13" s="57">
        <v>0.1</v>
      </c>
    </row>
    <row r="14" spans="2:5" ht="15" thickBot="1" x14ac:dyDescent="0.35">
      <c r="B14" s="50" t="s">
        <v>44</v>
      </c>
      <c r="C14" s="52" t="s">
        <v>28</v>
      </c>
      <c r="D14" s="52" t="s">
        <v>24</v>
      </c>
      <c r="E14" s="53">
        <v>0.1</v>
      </c>
    </row>
    <row r="15" spans="2:5" ht="15" thickTop="1" x14ac:dyDescent="0.3">
      <c r="B15" s="46" t="s">
        <v>45</v>
      </c>
      <c r="C15" s="48" t="s">
        <v>29</v>
      </c>
      <c r="D15" s="48" t="s">
        <v>19</v>
      </c>
      <c r="E15" s="49">
        <v>0.5</v>
      </c>
    </row>
    <row r="16" spans="2:5" x14ac:dyDescent="0.3">
      <c r="B16" s="50" t="s">
        <v>46</v>
      </c>
      <c r="C16" s="52" t="s">
        <v>29</v>
      </c>
      <c r="D16" s="52" t="s">
        <v>20</v>
      </c>
      <c r="E16" s="53">
        <v>0.1</v>
      </c>
    </row>
    <row r="17" spans="2:5" x14ac:dyDescent="0.3">
      <c r="B17" s="54" t="s">
        <v>47</v>
      </c>
      <c r="C17" s="56" t="s">
        <v>29</v>
      </c>
      <c r="D17" s="56" t="s">
        <v>21</v>
      </c>
      <c r="E17" s="57">
        <v>0.05</v>
      </c>
    </row>
    <row r="18" spans="2:5" x14ac:dyDescent="0.3">
      <c r="B18" s="50" t="s">
        <v>48</v>
      </c>
      <c r="C18" s="52" t="s">
        <v>29</v>
      </c>
      <c r="D18" s="52" t="s">
        <v>22</v>
      </c>
      <c r="E18" s="53">
        <v>0.05</v>
      </c>
    </row>
    <row r="19" spans="2:5" x14ac:dyDescent="0.3">
      <c r="B19" s="54" t="s">
        <v>49</v>
      </c>
      <c r="C19" s="56" t="s">
        <v>29</v>
      </c>
      <c r="D19" s="56" t="s">
        <v>23</v>
      </c>
      <c r="E19" s="57">
        <v>0.2</v>
      </c>
    </row>
    <row r="20" spans="2:5" ht="15" thickBot="1" x14ac:dyDescent="0.35">
      <c r="B20" s="58" t="s">
        <v>50</v>
      </c>
      <c r="C20" s="59" t="s">
        <v>29</v>
      </c>
      <c r="D20" s="59" t="s">
        <v>24</v>
      </c>
      <c r="E20" s="60">
        <v>0.1</v>
      </c>
    </row>
    <row r="21" spans="2:5" ht="15" thickTop="1" x14ac:dyDescent="0.3"/>
  </sheetData>
  <scenarios current="0" show="0">
    <scenario name="Conservador" count="12" user="Evandro" comment="Dados para um cenário conservador">
      <inputCells r="B3" val="PAPEL"/>
      <inputCells r="C3" val="0,3" numFmtId="9"/>
      <inputCells r="B4" val="TIJOLO"/>
      <inputCells r="C4" val="0,5" numFmtId="9"/>
      <inputCells r="B5" val="HÍBRIDOS"/>
      <inputCells r="C5" val="0,1" numFmtId="9"/>
      <inputCells r="B6" val="FOFs"/>
      <inputCells r="C6" val="0,1" numFmtId="9"/>
      <inputCells r="B7" val="DESENVOLVIMENTO"/>
      <inputCells r="C7" val="0" numFmtId="9"/>
      <inputCells r="B8" val="HOTELARIAS"/>
      <inputCells r="C8" val="0" numFmtId="9"/>
    </scenario>
  </scenario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Simulador</vt:lpstr>
      <vt:lpstr>Dados</vt:lpstr>
      <vt:lpstr>aporte</vt:lpstr>
      <vt:lpstr>Simulador!Area_de_impressao</vt:lpstr>
      <vt:lpstr>patrimonio</vt:lpstr>
      <vt:lpstr>perfil</vt:lpstr>
      <vt:lpstr>periodo</vt:lpstr>
      <vt:lpstr>porcentual_sal</vt:lpstr>
      <vt:lpstr>rendimento</vt:lpstr>
      <vt:lpstr>salario</vt:lpstr>
      <vt:lpstr>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Evandro</cp:lastModifiedBy>
  <cp:lastPrinted>2025-12-26T13:01:11Z</cp:lastPrinted>
  <dcterms:created xsi:type="dcterms:W3CDTF">2025-12-25T14:40:48Z</dcterms:created>
  <dcterms:modified xsi:type="dcterms:W3CDTF">2025-12-26T13:03:25Z</dcterms:modified>
</cp:coreProperties>
</file>